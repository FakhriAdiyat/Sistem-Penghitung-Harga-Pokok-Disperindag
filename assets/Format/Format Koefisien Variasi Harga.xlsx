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oefisien Variasi Harg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p #,##0"/>
  </numFmts>
  <fonts count="6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1F4E79"/>
      <sz val="11"/>
    </font>
    <font>
      <name val="Calibri"/>
      <b val="1"/>
      <color rgb="00FFFFFF"/>
      <sz val="10"/>
    </font>
    <font>
      <name val="Calibri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EEAF1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164" fontId="0" fillId="3" borderId="1" applyAlignment="1" pivotButton="0" quotePrefix="0" xfId="0">
      <alignment horizontal="center" vertical="center" wrapText="1"/>
    </xf>
    <xf numFmtId="164" fontId="5" fillId="3" borderId="1" applyAlignment="1" pivotButton="0" quotePrefix="0" xfId="0">
      <alignment horizontal="center" vertical="center" wrapText="1"/>
    </xf>
    <xf numFmtId="3" fontId="0" fillId="3" borderId="1" applyAlignment="1" pivotButton="0" quotePrefix="0" xfId="0">
      <alignment horizontal="center" vertical="center" wrapText="1"/>
    </xf>
    <xf numFmtId="10" fontId="0" fillId="3" borderId="1" applyAlignment="1" pivotButton="0" quotePrefix="0" xfId="0">
      <alignment horizontal="center" vertical="center" wrapText="1"/>
    </xf>
    <xf numFmtId="10" fontId="5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164" fontId="0" fillId="4" borderId="1" applyAlignment="1" pivotButton="0" quotePrefix="0" xfId="0">
      <alignment horizontal="center" vertical="center" wrapText="1"/>
    </xf>
    <xf numFmtId="164" fontId="5" fillId="4" borderId="1" applyAlignment="1" pivotButton="0" quotePrefix="0" xfId="0">
      <alignment horizontal="center" vertical="center" wrapText="1"/>
    </xf>
    <xf numFmtId="3" fontId="0" fillId="4" borderId="1" applyAlignment="1" pivotButton="0" quotePrefix="0" xfId="0">
      <alignment horizontal="center" vertical="center" wrapText="1"/>
    </xf>
    <xf numFmtId="10" fontId="0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3"/>
  <sheetViews>
    <sheetView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3" customWidth="1" min="16" max="16"/>
    <col width="13" customWidth="1" min="17" max="17"/>
    <col width="16" customWidth="1" min="18" max="18"/>
  </cols>
  <sheetData>
    <row r="1" ht="30" customHeight="1">
      <c r="A1" s="1" t="inlineStr">
        <is>
          <t>KOEFISIEN VARIASI HARGA KEBUTUHAN POKOK</t>
        </is>
      </c>
    </row>
    <row r="2" ht="20" customHeight="1">
      <c r="A2" s="2" t="inlineStr">
        <is>
          <t>KABUPATEN KARAWANG</t>
        </is>
      </c>
    </row>
    <row r="3" ht="8" customHeight="1"/>
    <row r="4" ht="40" customHeight="1">
      <c r="A4" s="3" t="inlineStr">
        <is>
          <t>No</t>
        </is>
      </c>
      <c r="B4" s="3" t="inlineStr">
        <is>
          <t>Komoditas</t>
        </is>
      </c>
      <c r="C4" s="3" t="inlineStr">
        <is>
          <t>Januari</t>
        </is>
      </c>
      <c r="D4" s="3" t="inlineStr">
        <is>
          <t>Februari</t>
        </is>
      </c>
      <c r="E4" s="3" t="inlineStr">
        <is>
          <t>Maret</t>
        </is>
      </c>
      <c r="F4" s="3" t="inlineStr">
        <is>
          <t>April</t>
        </is>
      </c>
      <c r="G4" s="3" t="inlineStr">
        <is>
          <t>Mei</t>
        </is>
      </c>
      <c r="H4" s="3" t="inlineStr">
        <is>
          <t>Juni</t>
        </is>
      </c>
      <c r="I4" s="3" t="inlineStr">
        <is>
          <t>Juli</t>
        </is>
      </c>
      <c r="J4" s="3" t="inlineStr">
        <is>
          <t>Agustus</t>
        </is>
      </c>
      <c r="K4" s="3" t="inlineStr">
        <is>
          <t>September</t>
        </is>
      </c>
      <c r="L4" s="3" t="inlineStr">
        <is>
          <t>Oktober</t>
        </is>
      </c>
      <c r="M4" s="3" t="inlineStr">
        <is>
          <t>November</t>
        </is>
      </c>
      <c r="N4" s="3" t="inlineStr">
        <is>
          <t>Desember</t>
        </is>
      </c>
      <c r="O4" s="3" t="inlineStr">
        <is>
          <t>Rata-Rata</t>
        </is>
      </c>
      <c r="P4" s="3" t="inlineStr">
        <is>
          <t>Standar
Deviasi</t>
        </is>
      </c>
      <c r="Q4" s="3" t="inlineStr">
        <is>
          <t>Koefisien
Variasi</t>
        </is>
      </c>
      <c r="R4" s="3" t="inlineStr">
        <is>
          <t>Rata-Rata
Koefisien Variasi</t>
        </is>
      </c>
    </row>
    <row r="5" ht="18" customHeight="1">
      <c r="A5" s="4" t="n">
        <v>1</v>
      </c>
      <c r="B5" s="5" t="inlineStr">
        <is>
          <t>Beras Premium</t>
        </is>
      </c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7">
        <f>IFERROR(AVERAGE(C5:N5),"")</f>
        <v/>
      </c>
      <c r="P5" s="8">
        <f>IFERROR(STDEV(C5:N5),"")</f>
        <v/>
      </c>
      <c r="Q5" s="9">
        <f>IFERROR(P5/O5,"")</f>
        <v/>
      </c>
      <c r="R5" s="10">
        <f>IFERROR(AVERAGE(Q5:Q73),"")</f>
        <v/>
      </c>
    </row>
    <row r="6" ht="18" customHeight="1">
      <c r="A6" s="11" t="n">
        <v>2</v>
      </c>
      <c r="B6" s="12" t="inlineStr">
        <is>
          <t>Beras Medium</t>
        </is>
      </c>
      <c r="C6" s="13" t="n"/>
      <c r="D6" s="13" t="n"/>
      <c r="E6" s="13" t="n"/>
      <c r="F6" s="13" t="n"/>
      <c r="G6" s="13" t="n"/>
      <c r="H6" s="13" t="n"/>
      <c r="I6" s="13" t="n"/>
      <c r="J6" s="13" t="n"/>
      <c r="K6" s="13" t="n"/>
      <c r="L6" s="13" t="n"/>
      <c r="M6" s="13" t="n"/>
      <c r="N6" s="13" t="n"/>
      <c r="O6" s="14">
        <f>IFERROR(AVERAGE(C6:N6),"")</f>
        <v/>
      </c>
      <c r="P6" s="15">
        <f>IFERROR(STDEV(C6:N6),"")</f>
        <v/>
      </c>
      <c r="Q6" s="16">
        <f>IFERROR(P6/O6,"")</f>
        <v/>
      </c>
    </row>
    <row r="7" ht="18" customHeight="1">
      <c r="A7" s="4" t="n">
        <v>3</v>
      </c>
      <c r="B7" s="5" t="inlineStr">
        <is>
          <t>Beras Termurah</t>
        </is>
      </c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7">
        <f>IFERROR(AVERAGE(C7:N7),"")</f>
        <v/>
      </c>
      <c r="P7" s="8">
        <f>IFERROR(STDEV(C7:N7),"")</f>
        <v/>
      </c>
      <c r="Q7" s="9">
        <f>IFERROR(P7/O7,"")</f>
        <v/>
      </c>
    </row>
    <row r="8" ht="18" customHeight="1">
      <c r="A8" s="11" t="n">
        <v>4</v>
      </c>
      <c r="B8" s="12" t="inlineStr">
        <is>
          <t>Beras Ketan Putih</t>
        </is>
      </c>
      <c r="C8" s="13" t="n"/>
      <c r="D8" s="13" t="n"/>
      <c r="E8" s="13" t="n"/>
      <c r="F8" s="13" t="n"/>
      <c r="G8" s="13" t="n"/>
      <c r="H8" s="13" t="n"/>
      <c r="I8" s="13" t="n"/>
      <c r="J8" s="13" t="n"/>
      <c r="K8" s="13" t="n"/>
      <c r="L8" s="13" t="n"/>
      <c r="M8" s="13" t="n"/>
      <c r="N8" s="13" t="n"/>
      <c r="O8" s="14">
        <f>IFERROR(AVERAGE(C8:N8),"")</f>
        <v/>
      </c>
      <c r="P8" s="15">
        <f>IFERROR(STDEV(C8:N8),"")</f>
        <v/>
      </c>
      <c r="Q8" s="16">
        <f>IFERROR(P8/O8,"")</f>
        <v/>
      </c>
    </row>
    <row r="9" ht="18" customHeight="1">
      <c r="A9" s="4" t="n">
        <v>5</v>
      </c>
      <c r="B9" s="5" t="inlineStr">
        <is>
          <t>Bawang Merah</t>
        </is>
      </c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7">
        <f>IFERROR(AVERAGE(C9:N9),"")</f>
        <v/>
      </c>
      <c r="P9" s="8">
        <f>IFERROR(STDEV(C9:N9),"")</f>
        <v/>
      </c>
      <c r="Q9" s="9">
        <f>IFERROR(P9/O9,"")</f>
        <v/>
      </c>
    </row>
    <row r="10" ht="18" customHeight="1">
      <c r="A10" s="11" t="n">
        <v>6</v>
      </c>
      <c r="B10" s="12" t="inlineStr">
        <is>
          <t>Bawang Putih Honan</t>
        </is>
      </c>
      <c r="C10" s="13" t="n"/>
      <c r="D10" s="13" t="n"/>
      <c r="E10" s="13" t="n"/>
      <c r="F10" s="13" t="n"/>
      <c r="G10" s="13" t="n"/>
      <c r="H10" s="13" t="n"/>
      <c r="I10" s="13" t="n"/>
      <c r="J10" s="13" t="n"/>
      <c r="K10" s="13" t="n"/>
      <c r="L10" s="13" t="n"/>
      <c r="M10" s="13" t="n"/>
      <c r="N10" s="13" t="n"/>
      <c r="O10" s="14">
        <f>IFERROR(AVERAGE(C10:N10),"")</f>
        <v/>
      </c>
      <c r="P10" s="15">
        <f>IFERROR(STDEV(C10:N10),"")</f>
        <v/>
      </c>
      <c r="Q10" s="16">
        <f>IFERROR(P10/O10,"")</f>
        <v/>
      </c>
    </row>
    <row r="11" ht="18" customHeight="1">
      <c r="A11" s="4" t="n">
        <v>7</v>
      </c>
      <c r="B11" s="5" t="inlineStr">
        <is>
          <t>Bawang Putih Kating</t>
        </is>
      </c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7">
        <f>IFERROR(AVERAGE(C11:N11),"")</f>
        <v/>
      </c>
      <c r="P11" s="8">
        <f>IFERROR(STDEV(C11:N11),"")</f>
        <v/>
      </c>
      <c r="Q11" s="9">
        <f>IFERROR(P11/O11,"")</f>
        <v/>
      </c>
    </row>
    <row r="12" ht="18" customHeight="1">
      <c r="A12" s="11" t="n">
        <v>8</v>
      </c>
      <c r="B12" s="12" t="inlineStr">
        <is>
          <t>Bawang Putih Bombai</t>
        </is>
      </c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4">
        <f>IFERROR(AVERAGE(C12:N12),"")</f>
        <v/>
      </c>
      <c r="P12" s="15">
        <f>IFERROR(STDEV(C12:N12),"")</f>
        <v/>
      </c>
      <c r="Q12" s="16">
        <f>IFERROR(P12/O12,"")</f>
        <v/>
      </c>
    </row>
    <row r="13" ht="18" customHeight="1">
      <c r="A13" s="4" t="n">
        <v>9</v>
      </c>
      <c r="B13" s="5" t="inlineStr">
        <is>
          <t>Buah Jeruk</t>
        </is>
      </c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7">
        <f>IFERROR(AVERAGE(C13:N13),"")</f>
        <v/>
      </c>
      <c r="P13" s="8">
        <f>IFERROR(STDEV(C13:N13),"")</f>
        <v/>
      </c>
      <c r="Q13" s="9">
        <f>IFERROR(P13/O13,"")</f>
        <v/>
      </c>
    </row>
    <row r="14" ht="18" customHeight="1">
      <c r="A14" s="11" t="n">
        <v>10</v>
      </c>
      <c r="B14" s="12" t="inlineStr">
        <is>
          <t>Buah Pisang</t>
        </is>
      </c>
      <c r="C14" s="13" t="n"/>
      <c r="D14" s="13" t="n"/>
      <c r="E14" s="13" t="n"/>
      <c r="F14" s="13" t="n"/>
      <c r="G14" s="13" t="n"/>
      <c r="H14" s="13" t="n"/>
      <c r="I14" s="13" t="n"/>
      <c r="J14" s="13" t="n"/>
      <c r="K14" s="13" t="n"/>
      <c r="L14" s="13" t="n"/>
      <c r="M14" s="13" t="n"/>
      <c r="N14" s="13" t="n"/>
      <c r="O14" s="14">
        <f>IFERROR(AVERAGE(C14:N14),"")</f>
        <v/>
      </c>
      <c r="P14" s="15">
        <f>IFERROR(STDEV(C14:N14),"")</f>
        <v/>
      </c>
      <c r="Q14" s="16">
        <f>IFERROR(P14/O14,"")</f>
        <v/>
      </c>
    </row>
    <row r="15" ht="18" customHeight="1">
      <c r="A15" s="4" t="n">
        <v>11</v>
      </c>
      <c r="B15" s="5" t="inlineStr">
        <is>
          <t>Cabai Keriting</t>
        </is>
      </c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  <c r="O15" s="7">
        <f>IFERROR(AVERAGE(C15:N15),"")</f>
        <v/>
      </c>
      <c r="P15" s="8">
        <f>IFERROR(STDEV(C15:N15),"")</f>
        <v/>
      </c>
      <c r="Q15" s="9">
        <f>IFERROR(P15/O15,"")</f>
        <v/>
      </c>
    </row>
    <row r="16" ht="18" customHeight="1">
      <c r="A16" s="11" t="n">
        <v>12</v>
      </c>
      <c r="B16" s="12" t="inlineStr">
        <is>
          <t>Cabai Merah Biasa</t>
        </is>
      </c>
      <c r="C16" s="13" t="n"/>
      <c r="D16" s="13" t="n"/>
      <c r="E16" s="13" t="n"/>
      <c r="F16" s="13" t="n"/>
      <c r="G16" s="13" t="n"/>
      <c r="H16" s="13" t="n"/>
      <c r="I16" s="13" t="n"/>
      <c r="J16" s="13" t="n"/>
      <c r="K16" s="13" t="n"/>
      <c r="L16" s="13" t="n"/>
      <c r="M16" s="13" t="n"/>
      <c r="N16" s="13" t="n"/>
      <c r="O16" s="14">
        <f>IFERROR(AVERAGE(C16:N16),"")</f>
        <v/>
      </c>
      <c r="P16" s="15">
        <f>IFERROR(STDEV(C16:N16),"")</f>
        <v/>
      </c>
      <c r="Q16" s="16">
        <f>IFERROR(P16/O16,"")</f>
        <v/>
      </c>
    </row>
    <row r="17" ht="18" customHeight="1">
      <c r="A17" s="4" t="n">
        <v>13</v>
      </c>
      <c r="B17" s="5" t="inlineStr">
        <is>
          <t>Cabai Hijau Biasa</t>
        </is>
      </c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7">
        <f>IFERROR(AVERAGE(C17:N17),"")</f>
        <v/>
      </c>
      <c r="P17" s="8">
        <f>IFERROR(STDEV(C17:N17),"")</f>
        <v/>
      </c>
      <c r="Q17" s="9">
        <f>IFERROR(P17/O17,"")</f>
        <v/>
      </c>
    </row>
    <row r="18" ht="18" customHeight="1">
      <c r="A18" s="11" t="n">
        <v>14</v>
      </c>
      <c r="B18" s="12" t="inlineStr">
        <is>
          <t>Cabe Rawit Merah</t>
        </is>
      </c>
      <c r="C18" s="13" t="n"/>
      <c r="D18" s="13" t="n"/>
      <c r="E18" s="13" t="n"/>
      <c r="F18" s="13" t="n"/>
      <c r="G18" s="13" t="n"/>
      <c r="H18" s="13" t="n"/>
      <c r="I18" s="13" t="n"/>
      <c r="J18" s="13" t="n"/>
      <c r="K18" s="13" t="n"/>
      <c r="L18" s="13" t="n"/>
      <c r="M18" s="13" t="n"/>
      <c r="N18" s="13" t="n"/>
      <c r="O18" s="14">
        <f>IFERROR(AVERAGE(C18:N18),"")</f>
        <v/>
      </c>
      <c r="P18" s="15">
        <f>IFERROR(STDEV(C18:N18),"")</f>
        <v/>
      </c>
      <c r="Q18" s="16">
        <f>IFERROR(P18/O18,"")</f>
        <v/>
      </c>
    </row>
    <row r="19" ht="18" customHeight="1">
      <c r="A19" s="4" t="n">
        <v>15</v>
      </c>
      <c r="B19" s="5" t="inlineStr">
        <is>
          <t>Cabe Rawit Hijau</t>
        </is>
      </c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  <c r="O19" s="7">
        <f>IFERROR(AVERAGE(C19:N19),"")</f>
        <v/>
      </c>
      <c r="P19" s="8">
        <f>IFERROR(STDEV(C19:N19),"")</f>
        <v/>
      </c>
      <c r="Q19" s="9">
        <f>IFERROR(P19/O19,"")</f>
        <v/>
      </c>
    </row>
    <row r="20" ht="18" customHeight="1">
      <c r="A20" s="11" t="n">
        <v>16</v>
      </c>
      <c r="B20" s="12" t="inlineStr">
        <is>
          <t>Daging Sapi Paha Depan</t>
        </is>
      </c>
      <c r="C20" s="13" t="n"/>
      <c r="D20" s="13" t="n"/>
      <c r="E20" s="13" t="n"/>
      <c r="F20" s="13" t="n"/>
      <c r="G20" s="13" t="n"/>
      <c r="H20" s="13" t="n"/>
      <c r="I20" s="13" t="n"/>
      <c r="J20" s="13" t="n"/>
      <c r="K20" s="13" t="n"/>
      <c r="L20" s="13" t="n"/>
      <c r="M20" s="13" t="n"/>
      <c r="N20" s="13" t="n"/>
      <c r="O20" s="14">
        <f>IFERROR(AVERAGE(C20:N20),"")</f>
        <v/>
      </c>
      <c r="P20" s="15">
        <f>IFERROR(STDEV(C20:N20),"")</f>
        <v/>
      </c>
      <c r="Q20" s="16">
        <f>IFERROR(P20/O20,"")</f>
        <v/>
      </c>
    </row>
    <row r="21" ht="18" customHeight="1">
      <c r="A21" s="4" t="n">
        <v>17</v>
      </c>
      <c r="B21" s="5" t="inlineStr">
        <is>
          <t>Daging Sapi Paha Belakang</t>
        </is>
      </c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  <c r="O21" s="7">
        <f>IFERROR(AVERAGE(C21:N21),"")</f>
        <v/>
      </c>
      <c r="P21" s="8">
        <f>IFERROR(STDEV(C21:N21),"")</f>
        <v/>
      </c>
      <c r="Q21" s="9">
        <f>IFERROR(P21/O21,"")</f>
        <v/>
      </c>
    </row>
    <row r="22" ht="18" customHeight="1">
      <c r="A22" s="11" t="n">
        <v>18</v>
      </c>
      <c r="B22" s="12" t="inlineStr">
        <is>
          <t>Daging Sapi Tetelan</t>
        </is>
      </c>
      <c r="C22" s="13" t="n"/>
      <c r="D22" s="13" t="n"/>
      <c r="E22" s="13" t="n"/>
      <c r="F22" s="13" t="n"/>
      <c r="G22" s="13" t="n"/>
      <c r="H22" s="13" t="n"/>
      <c r="I22" s="13" t="n"/>
      <c r="J22" s="13" t="n"/>
      <c r="K22" s="13" t="n"/>
      <c r="L22" s="13" t="n"/>
      <c r="M22" s="13" t="n"/>
      <c r="N22" s="13" t="n"/>
      <c r="O22" s="14">
        <f>IFERROR(AVERAGE(C22:N22),"")</f>
        <v/>
      </c>
      <c r="P22" s="15">
        <f>IFERROR(STDEV(C22:N22),"")</f>
        <v/>
      </c>
      <c r="Q22" s="16">
        <f>IFERROR(P22/O22,"")</f>
        <v/>
      </c>
    </row>
    <row r="23" ht="18" customHeight="1">
      <c r="A23" s="4" t="n">
        <v>19</v>
      </c>
      <c r="B23" s="5" t="inlineStr">
        <is>
          <t>Daging Sapi Sirloin (Has Luar)</t>
        </is>
      </c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  <c r="O23" s="7">
        <f>IFERROR(AVERAGE(C23:N23),"")</f>
        <v/>
      </c>
      <c r="P23" s="8">
        <f>IFERROR(STDEV(C23:N23),"")</f>
        <v/>
      </c>
      <c r="Q23" s="9">
        <f>IFERROR(P23/O23,"")</f>
        <v/>
      </c>
    </row>
    <row r="24" ht="18" customHeight="1">
      <c r="A24" s="11" t="n">
        <v>20</v>
      </c>
      <c r="B24" s="12" t="inlineStr">
        <is>
          <t>Daging Sapi Tenderloin (Has Dalam)</t>
        </is>
      </c>
      <c r="C24" s="13" t="n"/>
      <c r="D24" s="13" t="n"/>
      <c r="E24" s="13" t="n"/>
      <c r="F24" s="13" t="n"/>
      <c r="G24" s="13" t="n"/>
      <c r="H24" s="13" t="n"/>
      <c r="I24" s="13" t="n"/>
      <c r="J24" s="13" t="n"/>
      <c r="K24" s="13" t="n"/>
      <c r="L24" s="13" t="n"/>
      <c r="M24" s="13" t="n"/>
      <c r="N24" s="13" t="n"/>
      <c r="O24" s="14">
        <f>IFERROR(AVERAGE(C24:N24),"")</f>
        <v/>
      </c>
      <c r="P24" s="15">
        <f>IFERROR(STDEV(C24:N24),"")</f>
        <v/>
      </c>
      <c r="Q24" s="16">
        <f>IFERROR(P24/O24,"")</f>
        <v/>
      </c>
    </row>
    <row r="25" ht="18" customHeight="1">
      <c r="A25" s="4" t="n">
        <v>21</v>
      </c>
      <c r="B25" s="5" t="inlineStr">
        <is>
          <t>Daging Sapi Sandung Lemur</t>
        </is>
      </c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7">
        <f>IFERROR(AVERAGE(C25:N25),"")</f>
        <v/>
      </c>
      <c r="P25" s="8">
        <f>IFERROR(STDEV(C25:N25),"")</f>
        <v/>
      </c>
      <c r="Q25" s="9">
        <f>IFERROR(P25/O25,"")</f>
        <v/>
      </c>
    </row>
    <row r="26" ht="18" customHeight="1">
      <c r="A26" s="11" t="n">
        <v>22</v>
      </c>
      <c r="B26" s="12" t="inlineStr">
        <is>
          <t>Daging Sapi Beku</t>
        </is>
      </c>
      <c r="C26" s="13" t="n"/>
      <c r="D26" s="13" t="n"/>
      <c r="E26" s="13" t="n"/>
      <c r="F26" s="13" t="n"/>
      <c r="G26" s="13" t="n"/>
      <c r="H26" s="13" t="n"/>
      <c r="I26" s="13" t="n"/>
      <c r="J26" s="13" t="n"/>
      <c r="K26" s="13" t="n"/>
      <c r="L26" s="13" t="n"/>
      <c r="M26" s="13" t="n"/>
      <c r="N26" s="13" t="n"/>
      <c r="O26" s="14">
        <f>IFERROR(AVERAGE(C26:N26),"")</f>
        <v/>
      </c>
      <c r="P26" s="15">
        <f>IFERROR(STDEV(C26:N26),"")</f>
        <v/>
      </c>
      <c r="Q26" s="16">
        <f>IFERROR(P26/O26,"")</f>
        <v/>
      </c>
    </row>
    <row r="27" ht="18" customHeight="1">
      <c r="A27" s="4" t="n">
        <v>23</v>
      </c>
      <c r="B27" s="5" t="inlineStr">
        <is>
          <t>Daging Ayam Broiler</t>
        </is>
      </c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7">
        <f>IFERROR(AVERAGE(C27:N27),"")</f>
        <v/>
      </c>
      <c r="P27" s="8">
        <f>IFERROR(STDEV(C27:N27),"")</f>
        <v/>
      </c>
      <c r="Q27" s="9">
        <f>IFERROR(P27/O27,"")</f>
        <v/>
      </c>
    </row>
    <row r="28" ht="18" customHeight="1">
      <c r="A28" s="11" t="n">
        <v>24</v>
      </c>
      <c r="B28" s="12" t="inlineStr">
        <is>
          <t>Daging Ayam Kampung</t>
        </is>
      </c>
      <c r="C28" s="13" t="n"/>
      <c r="D28" s="13" t="n"/>
      <c r="E28" s="13" t="n"/>
      <c r="F28" s="13" t="n"/>
      <c r="G28" s="13" t="n"/>
      <c r="H28" s="13" t="n"/>
      <c r="I28" s="13" t="n"/>
      <c r="J28" s="13" t="n"/>
      <c r="K28" s="13" t="n"/>
      <c r="L28" s="13" t="n"/>
      <c r="M28" s="13" t="n"/>
      <c r="N28" s="13" t="n"/>
      <c r="O28" s="14">
        <f>IFERROR(AVERAGE(C28:N28),"")</f>
        <v/>
      </c>
      <c r="P28" s="15">
        <f>IFERROR(STDEV(C28:N28),"")</f>
        <v/>
      </c>
      <c r="Q28" s="16">
        <f>IFERROR(P28/O28,"")</f>
        <v/>
      </c>
    </row>
    <row r="29" ht="18" customHeight="1">
      <c r="A29" s="4" t="n">
        <v>25</v>
      </c>
      <c r="B29" s="5" t="inlineStr">
        <is>
          <t>Gula Pasir Kristal (Curah)</t>
        </is>
      </c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7">
        <f>IFERROR(AVERAGE(C29:N29),"")</f>
        <v/>
      </c>
      <c r="P29" s="8">
        <f>IFERROR(STDEV(C29:N29),"")</f>
        <v/>
      </c>
      <c r="Q29" s="9">
        <f>IFERROR(P29/O29,"")</f>
        <v/>
      </c>
    </row>
    <row r="30" ht="18" customHeight="1">
      <c r="A30" s="11" t="n">
        <v>26</v>
      </c>
      <c r="B30" s="12" t="inlineStr">
        <is>
          <t>Gula Kemasan</t>
        </is>
      </c>
      <c r="C30" s="13" t="n"/>
      <c r="D30" s="13" t="n"/>
      <c r="E30" s="13" t="n"/>
      <c r="F30" s="13" t="n"/>
      <c r="G30" s="13" t="n"/>
      <c r="H30" s="13" t="n"/>
      <c r="I30" s="13" t="n"/>
      <c r="J30" s="13" t="n"/>
      <c r="K30" s="13" t="n"/>
      <c r="L30" s="13" t="n"/>
      <c r="M30" s="13" t="n"/>
      <c r="N30" s="13" t="n"/>
      <c r="O30" s="14">
        <f>IFERROR(AVERAGE(C30:N30),"")</f>
        <v/>
      </c>
      <c r="P30" s="15">
        <f>IFERROR(STDEV(C30:N30),"")</f>
        <v/>
      </c>
      <c r="Q30" s="16">
        <f>IFERROR(P30/O30,"")</f>
        <v/>
      </c>
    </row>
    <row r="31" ht="18" customHeight="1">
      <c r="A31" s="4" t="n">
        <v>27</v>
      </c>
      <c r="B31" s="5" t="inlineStr">
        <is>
          <t>Gula Merah</t>
        </is>
      </c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7">
        <f>IFERROR(AVERAGE(C31:N31),"")</f>
        <v/>
      </c>
      <c r="P31" s="8">
        <f>IFERROR(STDEV(C31:N31),"")</f>
        <v/>
      </c>
      <c r="Q31" s="9">
        <f>IFERROR(P31/O31,"")</f>
        <v/>
      </c>
    </row>
    <row r="32" ht="18" customHeight="1">
      <c r="A32" s="11" t="n">
        <v>28</v>
      </c>
      <c r="B32" s="12" t="inlineStr">
        <is>
          <t>Garam Bata</t>
        </is>
      </c>
      <c r="C32" s="13" t="n"/>
      <c r="D32" s="13" t="n"/>
      <c r="E32" s="13" t="n"/>
      <c r="F32" s="13" t="n"/>
      <c r="G32" s="13" t="n"/>
      <c r="H32" s="13" t="n"/>
      <c r="I32" s="13" t="n"/>
      <c r="J32" s="13" t="n"/>
      <c r="K32" s="13" t="n"/>
      <c r="L32" s="13" t="n"/>
      <c r="M32" s="13" t="n"/>
      <c r="N32" s="13" t="n"/>
      <c r="O32" s="14">
        <f>IFERROR(AVERAGE(C32:N32),"")</f>
        <v/>
      </c>
      <c r="P32" s="15">
        <f>IFERROR(STDEV(C32:N32),"")</f>
        <v/>
      </c>
      <c r="Q32" s="16">
        <f>IFERROR(P32/O32,"")</f>
        <v/>
      </c>
    </row>
    <row r="33" ht="18" customHeight="1">
      <c r="A33" s="4" t="n">
        <v>29</v>
      </c>
      <c r="B33" s="5" t="inlineStr">
        <is>
          <t>Garam Halus</t>
        </is>
      </c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7">
        <f>IFERROR(AVERAGE(C33:N33),"")</f>
        <v/>
      </c>
      <c r="P33" s="8">
        <f>IFERROR(STDEV(C33:N33),"")</f>
        <v/>
      </c>
      <c r="Q33" s="9">
        <f>IFERROR(P33/O33,"")</f>
        <v/>
      </c>
    </row>
    <row r="34" ht="18" customHeight="1">
      <c r="A34" s="11" t="n">
        <v>30</v>
      </c>
      <c r="B34" s="12" t="inlineStr">
        <is>
          <t>Ikan Asin Medan</t>
        </is>
      </c>
      <c r="C34" s="13" t="n"/>
      <c r="D34" s="13" t="n"/>
      <c r="E34" s="13" t="n"/>
      <c r="F34" s="13" t="n"/>
      <c r="G34" s="13" t="n"/>
      <c r="H34" s="13" t="n"/>
      <c r="I34" s="13" t="n"/>
      <c r="J34" s="13" t="n"/>
      <c r="K34" s="13" t="n"/>
      <c r="L34" s="13" t="n"/>
      <c r="M34" s="13" t="n"/>
      <c r="N34" s="13" t="n"/>
      <c r="O34" s="14">
        <f>IFERROR(AVERAGE(C34:N34),"")</f>
        <v/>
      </c>
      <c r="P34" s="15">
        <f>IFERROR(STDEV(C34:N34),"")</f>
        <v/>
      </c>
      <c r="Q34" s="16">
        <f>IFERROR(P34/O34,"")</f>
        <v/>
      </c>
    </row>
    <row r="35" ht="18" customHeight="1">
      <c r="A35" s="4" t="n">
        <v>31</v>
      </c>
      <c r="B35" s="5" t="inlineStr">
        <is>
          <t>Ikan Asin Kering</t>
        </is>
      </c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7">
        <f>IFERROR(AVERAGE(C35:N35),"")</f>
        <v/>
      </c>
      <c r="P35" s="8">
        <f>IFERROR(STDEV(C35:N35),"")</f>
        <v/>
      </c>
      <c r="Q35" s="9">
        <f>IFERROR(P35/O35,"")</f>
        <v/>
      </c>
    </row>
    <row r="36" ht="18" customHeight="1">
      <c r="A36" s="11" t="n">
        <v>32</v>
      </c>
      <c r="B36" s="12" t="inlineStr">
        <is>
          <t>Ikan Bandeng Besar</t>
        </is>
      </c>
      <c r="C36" s="13" t="n"/>
      <c r="D36" s="13" t="n"/>
      <c r="E36" s="13" t="n"/>
      <c r="F36" s="13" t="n"/>
      <c r="G36" s="13" t="n"/>
      <c r="H36" s="13" t="n"/>
      <c r="I36" s="13" t="n"/>
      <c r="J36" s="13" t="n"/>
      <c r="K36" s="13" t="n"/>
      <c r="L36" s="13" t="n"/>
      <c r="M36" s="13" t="n"/>
      <c r="N36" s="13" t="n"/>
      <c r="O36" s="14">
        <f>IFERROR(AVERAGE(C36:N36),"")</f>
        <v/>
      </c>
      <c r="P36" s="15">
        <f>IFERROR(STDEV(C36:N36),"")</f>
        <v/>
      </c>
      <c r="Q36" s="16">
        <f>IFERROR(P36/O36,"")</f>
        <v/>
      </c>
    </row>
    <row r="37" ht="18" customHeight="1">
      <c r="A37" s="4" t="n">
        <v>33</v>
      </c>
      <c r="B37" s="5" t="inlineStr">
        <is>
          <t>Ikan Kembung Besar</t>
        </is>
      </c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7">
        <f>IFERROR(AVERAGE(C37:N37),"")</f>
        <v/>
      </c>
      <c r="P37" s="8">
        <f>IFERROR(STDEV(C37:N37),"")</f>
        <v/>
      </c>
      <c r="Q37" s="9">
        <f>IFERROR(P37/O37,"")</f>
        <v/>
      </c>
    </row>
    <row r="38" ht="18" customHeight="1">
      <c r="A38" s="11" t="n">
        <v>34</v>
      </c>
      <c r="B38" s="12" t="inlineStr">
        <is>
          <t>Ikan Tongkol</t>
        </is>
      </c>
      <c r="C38" s="13" t="n"/>
      <c r="D38" s="13" t="n"/>
      <c r="E38" s="13" t="n"/>
      <c r="F38" s="13" t="n"/>
      <c r="G38" s="13" t="n"/>
      <c r="H38" s="13" t="n"/>
      <c r="I38" s="13" t="n"/>
      <c r="J38" s="13" t="n"/>
      <c r="K38" s="13" t="n"/>
      <c r="L38" s="13" t="n"/>
      <c r="M38" s="13" t="n"/>
      <c r="N38" s="13" t="n"/>
      <c r="O38" s="14">
        <f>IFERROR(AVERAGE(C38:N38),"")</f>
        <v/>
      </c>
      <c r="P38" s="15">
        <f>IFERROR(STDEV(C38:N38),"")</f>
        <v/>
      </c>
      <c r="Q38" s="16">
        <f>IFERROR(P38/O38,"")</f>
        <v/>
      </c>
    </row>
    <row r="39" ht="18" customHeight="1">
      <c r="A39" s="4" t="n">
        <v>35</v>
      </c>
      <c r="B39" s="5" t="inlineStr">
        <is>
          <t>Ikan Tuna Sedang</t>
        </is>
      </c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7">
        <f>IFERROR(AVERAGE(C39:N39),"")</f>
        <v/>
      </c>
      <c r="P39" s="8">
        <f>IFERROR(STDEV(C39:N39),"")</f>
        <v/>
      </c>
      <c r="Q39" s="9">
        <f>IFERROR(P39/O39,"")</f>
        <v/>
      </c>
    </row>
    <row r="40" ht="18" customHeight="1">
      <c r="A40" s="11" t="n">
        <v>36</v>
      </c>
      <c r="B40" s="12" t="inlineStr">
        <is>
          <t>Ikan Cakalang</t>
        </is>
      </c>
      <c r="C40" s="13" t="n"/>
      <c r="D40" s="13" t="n"/>
      <c r="E40" s="13" t="n"/>
      <c r="F40" s="13" t="n"/>
      <c r="G40" s="13" t="n"/>
      <c r="H40" s="13" t="n"/>
      <c r="I40" s="13" t="n"/>
      <c r="J40" s="13" t="n"/>
      <c r="K40" s="13" t="n"/>
      <c r="L40" s="13" t="n"/>
      <c r="M40" s="13" t="n"/>
      <c r="N40" s="13" t="n"/>
      <c r="O40" s="14">
        <f>IFERROR(AVERAGE(C40:N40),"")</f>
        <v/>
      </c>
      <c r="P40" s="15">
        <f>IFERROR(STDEV(C40:N40),"")</f>
        <v/>
      </c>
      <c r="Q40" s="16">
        <f>IFERROR(P40/O40,"")</f>
        <v/>
      </c>
    </row>
    <row r="41" ht="18" customHeight="1">
      <c r="A41" s="4" t="n">
        <v>37</v>
      </c>
      <c r="B41" s="5" t="inlineStr">
        <is>
          <t>Ikan Mas</t>
        </is>
      </c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7">
        <f>IFERROR(AVERAGE(C41:N41),"")</f>
        <v/>
      </c>
      <c r="P41" s="8">
        <f>IFERROR(STDEV(C41:N41),"")</f>
        <v/>
      </c>
      <c r="Q41" s="9">
        <f>IFERROR(P41/O41,"")</f>
        <v/>
      </c>
    </row>
    <row r="42" ht="18" customHeight="1">
      <c r="A42" s="11" t="n">
        <v>38</v>
      </c>
      <c r="B42" s="12" t="inlineStr">
        <is>
          <t>Ikan Udang</t>
        </is>
      </c>
      <c r="C42" s="13" t="n"/>
      <c r="D42" s="13" t="n"/>
      <c r="E42" s="13" t="n"/>
      <c r="F42" s="13" t="n"/>
      <c r="G42" s="13" t="n"/>
      <c r="H42" s="13" t="n"/>
      <c r="I42" s="13" t="n"/>
      <c r="J42" s="13" t="n"/>
      <c r="K42" s="13" t="n"/>
      <c r="L42" s="13" t="n"/>
      <c r="M42" s="13" t="n"/>
      <c r="N42" s="13" t="n"/>
      <c r="O42" s="14">
        <f>IFERROR(AVERAGE(C42:N42),"")</f>
        <v/>
      </c>
      <c r="P42" s="15">
        <f>IFERROR(STDEV(C42:N42),"")</f>
        <v/>
      </c>
      <c r="Q42" s="16">
        <f>IFERROR(P42/O42,"")</f>
        <v/>
      </c>
    </row>
    <row r="43" ht="18" customHeight="1">
      <c r="A43" s="4" t="n">
        <v>39</v>
      </c>
      <c r="B43" s="5" t="inlineStr">
        <is>
          <t>Jagung Pipilan</t>
        </is>
      </c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7">
        <f>IFERROR(AVERAGE(C43:N43),"")</f>
        <v/>
      </c>
      <c r="P43" s="8">
        <f>IFERROR(STDEV(C43:N43),"")</f>
        <v/>
      </c>
      <c r="Q43" s="9">
        <f>IFERROR(P43/O43,"")</f>
        <v/>
      </c>
    </row>
    <row r="44" ht="18" customHeight="1">
      <c r="A44" s="11" t="n">
        <v>40</v>
      </c>
      <c r="B44" s="12" t="inlineStr">
        <is>
          <t>Jagung Manis</t>
        </is>
      </c>
      <c r="C44" s="13" t="n"/>
      <c r="D44" s="13" t="n"/>
      <c r="E44" s="13" t="n"/>
      <c r="F44" s="13" t="n"/>
      <c r="G44" s="13" t="n"/>
      <c r="H44" s="13" t="n"/>
      <c r="I44" s="13" t="n"/>
      <c r="J44" s="13" t="n"/>
      <c r="K44" s="13" t="n"/>
      <c r="L44" s="13" t="n"/>
      <c r="M44" s="13" t="n"/>
      <c r="N44" s="13" t="n"/>
      <c r="O44" s="14">
        <f>IFERROR(AVERAGE(C44:N44),"")</f>
        <v/>
      </c>
      <c r="P44" s="15">
        <f>IFERROR(STDEV(C44:N44),"")</f>
        <v/>
      </c>
      <c r="Q44" s="16">
        <f>IFERROR(P44/O44,"")</f>
        <v/>
      </c>
    </row>
    <row r="45" ht="18" customHeight="1">
      <c r="A45" s="4" t="n">
        <v>41</v>
      </c>
      <c r="B45" s="5" t="inlineStr">
        <is>
          <t>Kacang Kedelai Eks Import</t>
        </is>
      </c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7">
        <f>IFERROR(AVERAGE(C45:N45),"")</f>
        <v/>
      </c>
      <c r="P45" s="8">
        <f>IFERROR(STDEV(C45:N45),"")</f>
        <v/>
      </c>
      <c r="Q45" s="9">
        <f>IFERROR(P45/O45,"")</f>
        <v/>
      </c>
    </row>
    <row r="46" ht="18" customHeight="1">
      <c r="A46" s="11" t="n">
        <v>42</v>
      </c>
      <c r="B46" s="12" t="inlineStr">
        <is>
          <t>Kacang Kedelai Lokal</t>
        </is>
      </c>
      <c r="C46" s="13" t="n"/>
      <c r="D46" s="13" t="n"/>
      <c r="E46" s="13" t="n"/>
      <c r="F46" s="13" t="n"/>
      <c r="G46" s="13" t="n"/>
      <c r="H46" s="13" t="n"/>
      <c r="I46" s="13" t="n"/>
      <c r="J46" s="13" t="n"/>
      <c r="K46" s="13" t="n"/>
      <c r="L46" s="13" t="n"/>
      <c r="M46" s="13" t="n"/>
      <c r="N46" s="13" t="n"/>
      <c r="O46" s="14">
        <f>IFERROR(AVERAGE(C46:N46),"")</f>
        <v/>
      </c>
      <c r="P46" s="15">
        <f>IFERROR(STDEV(C46:N46),"")</f>
        <v/>
      </c>
      <c r="Q46" s="16">
        <f>IFERROR(P46/O46,"")</f>
        <v/>
      </c>
    </row>
    <row r="47" ht="18" customHeight="1">
      <c r="A47" s="4" t="n">
        <v>43</v>
      </c>
      <c r="B47" s="5" t="inlineStr">
        <is>
          <t>Kacang Hijau</t>
        </is>
      </c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7">
        <f>IFERROR(AVERAGE(C47:N47),"")</f>
        <v/>
      </c>
      <c r="P47" s="8">
        <f>IFERROR(STDEV(C47:N47),"")</f>
        <v/>
      </c>
      <c r="Q47" s="9">
        <f>IFERROR(P47/O47,"")</f>
        <v/>
      </c>
    </row>
    <row r="48" ht="18" customHeight="1">
      <c r="A48" s="11" t="n">
        <v>44</v>
      </c>
      <c r="B48" s="12" t="inlineStr">
        <is>
          <t>Kacang Tanah</t>
        </is>
      </c>
      <c r="C48" s="13" t="n"/>
      <c r="D48" s="13" t="n"/>
      <c r="E48" s="13" t="n"/>
      <c r="F48" s="13" t="n"/>
      <c r="G48" s="13" t="n"/>
      <c r="H48" s="13" t="n"/>
      <c r="I48" s="13" t="n"/>
      <c r="J48" s="13" t="n"/>
      <c r="K48" s="13" t="n"/>
      <c r="L48" s="13" t="n"/>
      <c r="M48" s="13" t="n"/>
      <c r="N48" s="13" t="n"/>
      <c r="O48" s="14">
        <f>IFERROR(AVERAGE(C48:N48),"")</f>
        <v/>
      </c>
      <c r="P48" s="15">
        <f>IFERROR(STDEV(C48:N48),"")</f>
        <v/>
      </c>
      <c r="Q48" s="16">
        <f>IFERROR(P48/O48,"")</f>
        <v/>
      </c>
    </row>
    <row r="49" ht="18" customHeight="1">
      <c r="A49" s="4" t="n">
        <v>45</v>
      </c>
      <c r="B49" s="5" t="inlineStr">
        <is>
          <t>Kangkung</t>
        </is>
      </c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7">
        <f>IFERROR(AVERAGE(C49:N49),"")</f>
        <v/>
      </c>
      <c r="P49" s="8">
        <f>IFERROR(STDEV(C49:N49),"")</f>
        <v/>
      </c>
      <c r="Q49" s="9">
        <f>IFERROR(P49/O49,"")</f>
        <v/>
      </c>
    </row>
    <row r="50" ht="18" customHeight="1">
      <c r="A50" s="11" t="n">
        <v>46</v>
      </c>
      <c r="B50" s="12" t="inlineStr">
        <is>
          <t>Ketela Pohon</t>
        </is>
      </c>
      <c r="C50" s="13" t="n"/>
      <c r="D50" s="13" t="n"/>
      <c r="E50" s="13" t="n"/>
      <c r="F50" s="13" t="n"/>
      <c r="G50" s="13" t="n"/>
      <c r="H50" s="13" t="n"/>
      <c r="I50" s="13" t="n"/>
      <c r="J50" s="13" t="n"/>
      <c r="K50" s="13" t="n"/>
      <c r="L50" s="13" t="n"/>
      <c r="M50" s="13" t="n"/>
      <c r="N50" s="13" t="n"/>
      <c r="O50" s="14">
        <f>IFERROR(AVERAGE(C50:N50),"")</f>
        <v/>
      </c>
      <c r="P50" s="15">
        <f>IFERROR(STDEV(C50:N50),"")</f>
        <v/>
      </c>
      <c r="Q50" s="16">
        <f>IFERROR(P50/O50,"")</f>
        <v/>
      </c>
    </row>
    <row r="51" ht="18" customHeight="1">
      <c r="A51" s="4" t="n">
        <v>47</v>
      </c>
      <c r="B51" s="5" t="inlineStr">
        <is>
          <t>Kentang</t>
        </is>
      </c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7">
        <f>IFERROR(AVERAGE(C51:N51),"")</f>
        <v/>
      </c>
      <c r="P51" s="8">
        <f>IFERROR(STDEV(C51:N51),"")</f>
        <v/>
      </c>
      <c r="Q51" s="9">
        <f>IFERROR(P51/O51,"")</f>
        <v/>
      </c>
    </row>
    <row r="52" ht="18" customHeight="1">
      <c r="A52" s="11" t="n">
        <v>48</v>
      </c>
      <c r="B52" s="12" t="inlineStr">
        <is>
          <t>Kol/Kubis</t>
        </is>
      </c>
      <c r="C52" s="13" t="n"/>
      <c r="D52" s="13" t="n"/>
      <c r="E52" s="13" t="n"/>
      <c r="F52" s="13" t="n"/>
      <c r="G52" s="13" t="n"/>
      <c r="H52" s="13" t="n"/>
      <c r="I52" s="13" t="n"/>
      <c r="J52" s="13" t="n"/>
      <c r="K52" s="13" t="n"/>
      <c r="L52" s="13" t="n"/>
      <c r="M52" s="13" t="n"/>
      <c r="N52" s="13" t="n"/>
      <c r="O52" s="14">
        <f>IFERROR(AVERAGE(C52:N52),"")</f>
        <v/>
      </c>
      <c r="P52" s="15">
        <f>IFERROR(STDEV(C52:N52),"")</f>
        <v/>
      </c>
      <c r="Q52" s="16">
        <f>IFERROR(P52/O52,"")</f>
        <v/>
      </c>
    </row>
    <row r="53" ht="18" customHeight="1">
      <c r="A53" s="4" t="n">
        <v>49</v>
      </c>
      <c r="B53" s="5" t="inlineStr">
        <is>
          <t>Mie Instan</t>
        </is>
      </c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7">
        <f>IFERROR(AVERAGE(C53:N53),"")</f>
        <v/>
      </c>
      <c r="P53" s="8">
        <f>IFERROR(STDEV(C53:N53),"")</f>
        <v/>
      </c>
      <c r="Q53" s="9">
        <f>IFERROR(P53/O53,"")</f>
        <v/>
      </c>
    </row>
    <row r="54" ht="18" customHeight="1">
      <c r="A54" s="11" t="n">
        <v>50</v>
      </c>
      <c r="B54" s="12" t="inlineStr">
        <is>
          <t>Minyak Goreng Curah</t>
        </is>
      </c>
      <c r="C54" s="13" t="n"/>
      <c r="D54" s="13" t="n"/>
      <c r="E54" s="13" t="n"/>
      <c r="F54" s="13" t="n"/>
      <c r="G54" s="13" t="n"/>
      <c r="H54" s="13" t="n"/>
      <c r="I54" s="13" t="n"/>
      <c r="J54" s="13" t="n"/>
      <c r="K54" s="13" t="n"/>
      <c r="L54" s="13" t="n"/>
      <c r="M54" s="13" t="n"/>
      <c r="N54" s="13" t="n"/>
      <c r="O54" s="14">
        <f>IFERROR(AVERAGE(C54:N54),"")</f>
        <v/>
      </c>
      <c r="P54" s="15">
        <f>IFERROR(STDEV(C54:N54),"")</f>
        <v/>
      </c>
      <c r="Q54" s="16">
        <f>IFERROR(P54/O54,"")</f>
        <v/>
      </c>
    </row>
    <row r="55" ht="18" customHeight="1">
      <c r="A55" s="4" t="n">
        <v>51</v>
      </c>
      <c r="B55" s="5" t="inlineStr">
        <is>
          <t>Minyak Goreng Minyakita</t>
        </is>
      </c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7">
        <f>IFERROR(AVERAGE(C55:N55),"")</f>
        <v/>
      </c>
      <c r="P55" s="8">
        <f>IFERROR(STDEV(C55:N55),"")</f>
        <v/>
      </c>
      <c r="Q55" s="9">
        <f>IFERROR(P55/O55,"")</f>
        <v/>
      </c>
    </row>
    <row r="56" ht="18" customHeight="1">
      <c r="A56" s="11" t="n">
        <v>52</v>
      </c>
      <c r="B56" s="12" t="inlineStr">
        <is>
          <t>Minyak Goreng Sanco</t>
        </is>
      </c>
      <c r="C56" s="13" t="n"/>
      <c r="D56" s="13" t="n"/>
      <c r="E56" s="13" t="n"/>
      <c r="F56" s="13" t="n"/>
      <c r="G56" s="13" t="n"/>
      <c r="H56" s="13" t="n"/>
      <c r="I56" s="13" t="n"/>
      <c r="J56" s="13" t="n"/>
      <c r="K56" s="13" t="n"/>
      <c r="L56" s="13" t="n"/>
      <c r="M56" s="13" t="n"/>
      <c r="N56" s="13" t="n"/>
      <c r="O56" s="14">
        <f>IFERROR(AVERAGE(C56:N56),"")</f>
        <v/>
      </c>
      <c r="P56" s="15">
        <f>IFERROR(STDEV(C56:N56),"")</f>
        <v/>
      </c>
      <c r="Q56" s="16">
        <f>IFERROR(P56/O56,"")</f>
        <v/>
      </c>
    </row>
    <row r="57" ht="18" customHeight="1">
      <c r="A57" s="4" t="n">
        <v>53</v>
      </c>
      <c r="B57" s="5" t="inlineStr">
        <is>
          <t>Sawi Hijau</t>
        </is>
      </c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7">
        <f>IFERROR(AVERAGE(C57:N57),"")</f>
        <v/>
      </c>
      <c r="P57" s="8">
        <f>IFERROR(STDEV(C57:N57),"")</f>
        <v/>
      </c>
      <c r="Q57" s="9">
        <f>IFERROR(P57/O57,"")</f>
        <v/>
      </c>
    </row>
    <row r="58" ht="18" customHeight="1">
      <c r="A58" s="11" t="n">
        <v>54</v>
      </c>
      <c r="B58" s="12" t="inlineStr">
        <is>
          <t>Susu Bubuk Dencow</t>
        </is>
      </c>
      <c r="C58" s="13" t="n"/>
      <c r="D58" s="13" t="n"/>
      <c r="E58" s="13" t="n"/>
      <c r="F58" s="13" t="n"/>
      <c r="G58" s="13" t="n"/>
      <c r="H58" s="13" t="n"/>
      <c r="I58" s="13" t="n"/>
      <c r="J58" s="13" t="n"/>
      <c r="K58" s="13" t="n"/>
      <c r="L58" s="13" t="n"/>
      <c r="M58" s="13" t="n"/>
      <c r="N58" s="13" t="n"/>
      <c r="O58" s="14">
        <f>IFERROR(AVERAGE(C58:N58),"")</f>
        <v/>
      </c>
      <c r="P58" s="15">
        <f>IFERROR(STDEV(C58:N58),"")</f>
        <v/>
      </c>
      <c r="Q58" s="16">
        <f>IFERROR(P58/O58,"")</f>
        <v/>
      </c>
    </row>
    <row r="59" ht="18" customHeight="1">
      <c r="A59" s="4" t="n">
        <v>55</v>
      </c>
      <c r="B59" s="5" t="inlineStr">
        <is>
          <t>Susu Bubuk SGM</t>
        </is>
      </c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7">
        <f>IFERROR(AVERAGE(C59:N59),"")</f>
        <v/>
      </c>
      <c r="P59" s="8">
        <f>IFERROR(STDEV(C59:N59),"")</f>
        <v/>
      </c>
      <c r="Q59" s="9">
        <f>IFERROR(P59/O59,"")</f>
        <v/>
      </c>
    </row>
    <row r="60" ht="18" customHeight="1">
      <c r="A60" s="11" t="n">
        <v>56</v>
      </c>
      <c r="B60" s="12" t="inlineStr">
        <is>
          <t>Susu Kental Manis Bendera</t>
        </is>
      </c>
      <c r="C60" s="13" t="n"/>
      <c r="D60" s="13" t="n"/>
      <c r="E60" s="13" t="n"/>
      <c r="F60" s="13" t="n"/>
      <c r="G60" s="13" t="n"/>
      <c r="H60" s="13" t="n"/>
      <c r="I60" s="13" t="n"/>
      <c r="J60" s="13" t="n"/>
      <c r="K60" s="13" t="n"/>
      <c r="L60" s="13" t="n"/>
      <c r="M60" s="13" t="n"/>
      <c r="N60" s="13" t="n"/>
      <c r="O60" s="14">
        <f>IFERROR(AVERAGE(C60:N60),"")</f>
        <v/>
      </c>
      <c r="P60" s="15">
        <f>IFERROR(STDEV(C60:N60),"")</f>
        <v/>
      </c>
      <c r="Q60" s="16">
        <f>IFERROR(P60/O60,"")</f>
        <v/>
      </c>
    </row>
    <row r="61" ht="18" customHeight="1">
      <c r="A61" s="4" t="n">
        <v>57</v>
      </c>
      <c r="B61" s="5" t="inlineStr">
        <is>
          <t>Susu Kental Manis Indomilk</t>
        </is>
      </c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7">
        <f>IFERROR(AVERAGE(C61:N61),"")</f>
        <v/>
      </c>
      <c r="P61" s="8">
        <f>IFERROR(STDEV(C61:N61),"")</f>
        <v/>
      </c>
      <c r="Q61" s="9">
        <f>IFERROR(P61/O61,"")</f>
        <v/>
      </c>
    </row>
    <row r="62" ht="18" customHeight="1">
      <c r="A62" s="11" t="n">
        <v>58</v>
      </c>
      <c r="B62" s="12" t="inlineStr">
        <is>
          <t>Telur Ayam Ras</t>
        </is>
      </c>
      <c r="C62" s="13" t="n"/>
      <c r="D62" s="13" t="n"/>
      <c r="E62" s="13" t="n"/>
      <c r="F62" s="13" t="n"/>
      <c r="G62" s="13" t="n"/>
      <c r="H62" s="13" t="n"/>
      <c r="I62" s="13" t="n"/>
      <c r="J62" s="13" t="n"/>
      <c r="K62" s="13" t="n"/>
      <c r="L62" s="13" t="n"/>
      <c r="M62" s="13" t="n"/>
      <c r="N62" s="13" t="n"/>
      <c r="O62" s="14">
        <f>IFERROR(AVERAGE(C62:N62),"")</f>
        <v/>
      </c>
      <c r="P62" s="15">
        <f>IFERROR(STDEV(C62:N62),"")</f>
        <v/>
      </c>
      <c r="Q62" s="16">
        <f>IFERROR(P62/O62,"")</f>
        <v/>
      </c>
    </row>
    <row r="63" ht="18" customHeight="1">
      <c r="A63" s="4" t="n">
        <v>59</v>
      </c>
      <c r="B63" s="5" t="inlineStr">
        <is>
          <t>Telur Ayam Kampung</t>
        </is>
      </c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7">
        <f>IFERROR(AVERAGE(C63:N63),"")</f>
        <v/>
      </c>
      <c r="P63" s="8">
        <f>IFERROR(STDEV(C63:N63),"")</f>
        <v/>
      </c>
      <c r="Q63" s="9">
        <f>IFERROR(P63/O63,"")</f>
        <v/>
      </c>
    </row>
    <row r="64" ht="18" customHeight="1">
      <c r="A64" s="11" t="n">
        <v>60</v>
      </c>
      <c r="B64" s="12" t="inlineStr">
        <is>
          <t>Tepung Terigu Curah</t>
        </is>
      </c>
      <c r="C64" s="13" t="n"/>
      <c r="D64" s="13" t="n"/>
      <c r="E64" s="13" t="n"/>
      <c r="F64" s="13" t="n"/>
      <c r="G64" s="13" t="n"/>
      <c r="H64" s="13" t="n"/>
      <c r="I64" s="13" t="n"/>
      <c r="J64" s="13" t="n"/>
      <c r="K64" s="13" t="n"/>
      <c r="L64" s="13" t="n"/>
      <c r="M64" s="13" t="n"/>
      <c r="N64" s="13" t="n"/>
      <c r="O64" s="14">
        <f>IFERROR(AVERAGE(C64:N64),"")</f>
        <v/>
      </c>
      <c r="P64" s="15">
        <f>IFERROR(STDEV(C64:N64),"")</f>
        <v/>
      </c>
      <c r="Q64" s="16">
        <f>IFERROR(P64/O64,"")</f>
        <v/>
      </c>
    </row>
    <row r="65" ht="18" customHeight="1">
      <c r="A65" s="4" t="n">
        <v>61</v>
      </c>
      <c r="B65" s="5" t="inlineStr">
        <is>
          <t>Tepung Terigu Segitiga Biru</t>
        </is>
      </c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7">
        <f>IFERROR(AVERAGE(C65:N65),"")</f>
        <v/>
      </c>
      <c r="P65" s="8">
        <f>IFERROR(STDEV(C65:N65),"")</f>
        <v/>
      </c>
      <c r="Q65" s="9">
        <f>IFERROR(P65/O65,"")</f>
        <v/>
      </c>
    </row>
    <row r="66" ht="18" customHeight="1">
      <c r="A66" s="11" t="n">
        <v>62</v>
      </c>
      <c r="B66" s="12" t="inlineStr">
        <is>
          <t>Tepung Terigu Cakra Kembar</t>
        </is>
      </c>
      <c r="C66" s="13" t="n"/>
      <c r="D66" s="13" t="n"/>
      <c r="E66" s="13" t="n"/>
      <c r="F66" s="13" t="n"/>
      <c r="G66" s="13" t="n"/>
      <c r="H66" s="13" t="n"/>
      <c r="I66" s="13" t="n"/>
      <c r="J66" s="13" t="n"/>
      <c r="K66" s="13" t="n"/>
      <c r="L66" s="13" t="n"/>
      <c r="M66" s="13" t="n"/>
      <c r="N66" s="13" t="n"/>
      <c r="O66" s="14">
        <f>IFERROR(AVERAGE(C66:N66),"")</f>
        <v/>
      </c>
      <c r="P66" s="15">
        <f>IFERROR(STDEV(C66:N66),"")</f>
        <v/>
      </c>
      <c r="Q66" s="16">
        <f>IFERROR(P66/O66,"")</f>
        <v/>
      </c>
    </row>
    <row r="67" ht="18" customHeight="1">
      <c r="A67" s="4" t="n">
        <v>63</v>
      </c>
      <c r="B67" s="5" t="inlineStr">
        <is>
          <t>Tepung Terigu Kunci</t>
        </is>
      </c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7">
        <f>IFERROR(AVERAGE(C67:N67),"")</f>
        <v/>
      </c>
      <c r="P67" s="8">
        <f>IFERROR(STDEV(C67:N67),"")</f>
        <v/>
      </c>
      <c r="Q67" s="9">
        <f>IFERROR(P67/O67,"")</f>
        <v/>
      </c>
    </row>
    <row r="68" ht="18" customHeight="1">
      <c r="A68" s="11" t="n">
        <v>64</v>
      </c>
      <c r="B68" s="12" t="inlineStr">
        <is>
          <t>Tahu</t>
        </is>
      </c>
      <c r="C68" s="13" t="n"/>
      <c r="D68" s="13" t="n"/>
      <c r="E68" s="13" t="n"/>
      <c r="F68" s="13" t="n"/>
      <c r="G68" s="13" t="n"/>
      <c r="H68" s="13" t="n"/>
      <c r="I68" s="13" t="n"/>
      <c r="J68" s="13" t="n"/>
      <c r="K68" s="13" t="n"/>
      <c r="L68" s="13" t="n"/>
      <c r="M68" s="13" t="n"/>
      <c r="N68" s="13" t="n"/>
      <c r="O68" s="14">
        <f>IFERROR(AVERAGE(C68:N68),"")</f>
        <v/>
      </c>
      <c r="P68" s="15">
        <f>IFERROR(STDEV(C68:N68),"")</f>
        <v/>
      </c>
      <c r="Q68" s="16">
        <f>IFERROR(P68/O68,"")</f>
        <v/>
      </c>
    </row>
    <row r="69" ht="18" customHeight="1">
      <c r="A69" s="4" t="n">
        <v>65</v>
      </c>
      <c r="B69" s="5" t="inlineStr">
        <is>
          <t>Tempe</t>
        </is>
      </c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7">
        <f>IFERROR(AVERAGE(C69:N69),"")</f>
        <v/>
      </c>
      <c r="P69" s="8">
        <f>IFERROR(STDEV(C69:N69),"")</f>
        <v/>
      </c>
      <c r="Q69" s="9">
        <f>IFERROR(P69/O69,"")</f>
        <v/>
      </c>
    </row>
    <row r="70" ht="18" customHeight="1">
      <c r="A70" s="11" t="n">
        <v>66</v>
      </c>
      <c r="B70" s="12" t="inlineStr">
        <is>
          <t>Timun</t>
        </is>
      </c>
      <c r="C70" s="13" t="n"/>
      <c r="D70" s="13" t="n"/>
      <c r="E70" s="13" t="n"/>
      <c r="F70" s="13" t="n"/>
      <c r="G70" s="13" t="n"/>
      <c r="H70" s="13" t="n"/>
      <c r="I70" s="13" t="n"/>
      <c r="J70" s="13" t="n"/>
      <c r="K70" s="13" t="n"/>
      <c r="L70" s="13" t="n"/>
      <c r="M70" s="13" t="n"/>
      <c r="N70" s="13" t="n"/>
      <c r="O70" s="14">
        <f>IFERROR(AVERAGE(C70:N70),"")</f>
        <v/>
      </c>
      <c r="P70" s="15">
        <f>IFERROR(STDEV(C70:N70),"")</f>
        <v/>
      </c>
      <c r="Q70" s="16">
        <f>IFERROR(P70/O70,"")</f>
        <v/>
      </c>
    </row>
    <row r="71" ht="18" customHeight="1">
      <c r="A71" s="4" t="n">
        <v>67</v>
      </c>
      <c r="B71" s="5" t="inlineStr">
        <is>
          <t>Tomat Merah</t>
        </is>
      </c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7">
        <f>IFERROR(AVERAGE(C71:N71),"")</f>
        <v/>
      </c>
      <c r="P71" s="8">
        <f>IFERROR(STDEV(C71:N71),"")</f>
        <v/>
      </c>
      <c r="Q71" s="9">
        <f>IFERROR(P71/O71,"")</f>
        <v/>
      </c>
    </row>
    <row r="72" ht="18" customHeight="1">
      <c r="A72" s="11" t="n">
        <v>68</v>
      </c>
      <c r="B72" s="12" t="inlineStr">
        <is>
          <t>Tomat Hijau</t>
        </is>
      </c>
      <c r="C72" s="13" t="n"/>
      <c r="D72" s="13" t="n"/>
      <c r="E72" s="13" t="n"/>
      <c r="F72" s="13" t="n"/>
      <c r="G72" s="13" t="n"/>
      <c r="H72" s="13" t="n"/>
      <c r="I72" s="13" t="n"/>
      <c r="J72" s="13" t="n"/>
      <c r="K72" s="13" t="n"/>
      <c r="L72" s="13" t="n"/>
      <c r="M72" s="13" t="n"/>
      <c r="N72" s="13" t="n"/>
      <c r="O72" s="14">
        <f>IFERROR(AVERAGE(C72:N72),"")</f>
        <v/>
      </c>
      <c r="P72" s="15">
        <f>IFERROR(STDEV(C72:N72),"")</f>
        <v/>
      </c>
      <c r="Q72" s="16">
        <f>IFERROR(P72/O72,"")</f>
        <v/>
      </c>
    </row>
    <row r="73" ht="18" customHeight="1">
      <c r="A73" s="4" t="n">
        <v>69</v>
      </c>
      <c r="B73" s="5" t="inlineStr">
        <is>
          <t>Ubi Jalar Putih</t>
        </is>
      </c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7">
        <f>IFERROR(AVERAGE(C73:N73),"")</f>
        <v/>
      </c>
      <c r="P73" s="8">
        <f>IFERROR(STDEV(C73:N73),"")</f>
        <v/>
      </c>
      <c r="Q73" s="9">
        <f>IFERROR(P73/O73,"")</f>
        <v/>
      </c>
    </row>
  </sheetData>
  <mergeCells count="3">
    <mergeCell ref="R5:R73"/>
    <mergeCell ref="A2:R2"/>
    <mergeCell ref="A1: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2026-04-06T01:27:50Z</dcterms:created>
  <dcterms:modified xmlns:dcterms="http://purl.org/dc/terms/" xmlns:xsi="http://www.w3.org/2001/XMLSchema-instance" xsi:type="dcterms:W3CDTF">2026-04-06T01:27:50Z</dcterms:modified>
</cp:coreProperties>
</file>